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  <sheet name="Profiles" sheetId="2" state="visible" r:id="rId4"/>
    <sheet name="Data m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From bench-pack.ps1 output, run by the user on 2026-10-18.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0" authorId="0">
      <text>
        <r>
          <rPr>
            <sz val="10"/>
            <rFont val="Arial"/>
            <family val="2"/>
          </rPr>
          <t xml:space="preserve">499 duplicate copies, mostly git hook samples — deduplication would save almost nothing here.</t>
        </r>
      </text>
    </comment>
  </commentList>
</comments>
</file>

<file path=xl/sharedStrings.xml><?xml version="1.0" encoding="utf-8"?>
<sst xmlns="http://schemas.openxmlformats.org/spreadsheetml/2006/main" count="82" uniqueCount="64">
  <si>
    <t xml:space="preserve">LzFilm vs 7-Zip — E:\gitcopy (4,768 files), 4 threads</t>
  </si>
  <si>
    <t xml:space="preserve">Source size (MiB)</t>
  </si>
  <si>
    <t xml:space="preserve">Reference (7-Zip Ultra, MiB)</t>
  </si>
  <si>
    <t xml:space="preserve">Tool</t>
  </si>
  <si>
    <t xml:space="preserve">Config</t>
  </si>
  <si>
    <t xml:space="preserve">Level</t>
  </si>
  <si>
    <t xml:space="preserve">Segment (MiB)</t>
  </si>
  <si>
    <t xml:space="preserve">Archive (MiB)</t>
  </si>
  <si>
    <t xml:space="preserve">Ratio</t>
  </si>
  <si>
    <t xml:space="preserve">vs 7-Zip Ultra</t>
  </si>
  <si>
    <t xml:space="preserve">Time (s)</t>
  </si>
  <si>
    <t xml:space="preserve">Throughput (MiB/s)</t>
  </si>
  <si>
    <t xml:space="preserve">Peak RAM (MiB)</t>
  </si>
  <si>
    <t xml:space="preserve">Estimated RAM (MiB)</t>
  </si>
  <si>
    <t xml:space="preserve">Estimate / peak</t>
  </si>
  <si>
    <t xml:space="preserve">7-Zip</t>
  </si>
  <si>
    <t xml:space="preserve">Normal -mx5</t>
  </si>
  <si>
    <t xml:space="preserve">solid</t>
  </si>
  <si>
    <t xml:space="preserve">Ultra -mx9</t>
  </si>
  <si>
    <t xml:space="preserve">LzFilm</t>
  </si>
  <si>
    <t xml:space="preserve">Level 6 / 32 MiB</t>
  </si>
  <si>
    <t xml:space="preserve">Level 6 / 128 MiB</t>
  </si>
  <si>
    <t xml:space="preserve">Level 9 / 64 MiB</t>
  </si>
  <si>
    <t xml:space="preserve">Level 9 / 256 MiB</t>
  </si>
  <si>
    <t xml:space="preserve">Level 9 / 1024 MiB</t>
  </si>
  <si>
    <t xml:space="preserve">Blue = measured values (bench-pack.ps1, 2026-10-18); black = formulas. 7-Zip has no segments (one solid block) and no memory estimate.</t>
  </si>
  <si>
    <t xml:space="preserve">Proposed Pack-tab profiles</t>
  </si>
  <si>
    <t xml:space="preserve">Profile</t>
  </si>
  <si>
    <t xml:space="preserve">Note</t>
  </si>
  <si>
    <t xml:space="preserve">Fast</t>
  </si>
  <si>
    <t xml:space="preserve">Current default.</t>
  </si>
  <si>
    <t xml:space="preserve">Maximum (default)</t>
  </si>
  <si>
    <t xml:space="preserve">Best size/time; all threads busy, partial extraction kept.</t>
  </si>
  <si>
    <t xml:space="preserve">Ultra</t>
  </si>
  <si>
    <t xml:space="preserve">Only ~3 segments on this data, so at most 3 threads work.</t>
  </si>
  <si>
    <t xml:space="preserve">Green = linked from the Benchmark sheet.</t>
  </si>
  <si>
    <t xml:space="preserve">What E:\gitcopy contains</t>
  </si>
  <si>
    <t xml:space="preserve">Extension</t>
  </si>
  <si>
    <t xml:space="preserve">Size (MiB)</t>
  </si>
  <si>
    <t xml:space="preserve">Files</t>
  </si>
  <si>
    <t xml:space="preserve">Share of source</t>
  </si>
  <si>
    <t xml:space="preserve">Already compressed?</t>
  </si>
  <si>
    <t xml:space="preserve">.pack</t>
  </si>
  <si>
    <t xml:space="preserve">Yes (git, zlib)</t>
  </si>
  <si>
    <t xml:space="preserve">.gguf</t>
  </si>
  <si>
    <t xml:space="preserve">Yes (quantized model)</t>
  </si>
  <si>
    <t xml:space="preserve">.csv</t>
  </si>
  <si>
    <t xml:space="preserve">No</t>
  </si>
  <si>
    <t xml:space="preserve">.cpp</t>
  </si>
  <si>
    <t xml:space="preserve">.webm</t>
  </si>
  <si>
    <t xml:space="preserve">Yes (video)</t>
  </si>
  <si>
    <t xml:space="preserve">.h</t>
  </si>
  <si>
    <t xml:space="preserve">.c</t>
  </si>
  <si>
    <t xml:space="preserve">.py</t>
  </si>
  <si>
    <t xml:space="preserve">.pdf</t>
  </si>
  <si>
    <t xml:space="preserve">Mostly</t>
  </si>
  <si>
    <t xml:space="preserve">.idx</t>
  </si>
  <si>
    <t xml:space="preserve">.png</t>
  </si>
  <si>
    <t xml:space="preserve">Yes</t>
  </si>
  <si>
    <t xml:space="preserve">.json</t>
  </si>
  <si>
    <t xml:space="preserve">Top 12 total</t>
  </si>
  <si>
    <t xml:space="preserve">Already-compressed share</t>
  </si>
  <si>
    <t xml:space="preserve">Inside .git folders (MiB)</t>
  </si>
  <si>
    <t xml:space="preserve">Duplicate file content (MiB)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</si>
</sst>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\+0.0%;\-0.0%;0.0%"/>
    <numFmt numFmtId="168" formatCode="#,##0"/>
    <numFmt numFmtId="169" formatCode="0.0\x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571.2</v>
      </c>
    </row>
    <row r="4" customFormat="false" ht="15" hidden="false" customHeight="false" outlineLevel="0" collapsed="false">
      <c r="A4" s="2" t="s">
        <v>2</v>
      </c>
      <c r="B4" s="4" t="n">
        <f aca="false">E8</f>
        <v>351.5</v>
      </c>
    </row>
    <row r="6" customFormat="false" ht="26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</row>
    <row r="7" customFormat="false" ht="15" hidden="false" customHeight="false" outlineLevel="0" collapsed="false">
      <c r="A7" s="6" t="s">
        <v>15</v>
      </c>
      <c r="B7" s="6" t="s">
        <v>16</v>
      </c>
      <c r="C7" s="7" t="n">
        <v>5</v>
      </c>
      <c r="D7" s="6" t="s">
        <v>17</v>
      </c>
      <c r="E7" s="3" t="n">
        <v>375.1</v>
      </c>
      <c r="F7" s="8" t="n">
        <f aca="false">E7/$B$3</f>
        <v>0.656687675070028</v>
      </c>
      <c r="G7" s="9" t="n">
        <f aca="false">E7/$B$4-1</f>
        <v>0.0671408250355619</v>
      </c>
      <c r="H7" s="3" t="n">
        <v>32.9</v>
      </c>
      <c r="I7" s="4" t="n">
        <f aca="false">$B$3/H7</f>
        <v>17.3617021276596</v>
      </c>
      <c r="J7" s="10" t="n">
        <v>1251</v>
      </c>
      <c r="K7" s="11"/>
      <c r="L7" s="12" t="str">
        <f aca="false">IF(K7="","",K7/J7)</f>
        <v/>
      </c>
    </row>
    <row r="8" customFormat="false" ht="15" hidden="false" customHeight="false" outlineLevel="0" collapsed="false">
      <c r="A8" s="6" t="s">
        <v>15</v>
      </c>
      <c r="B8" s="6" t="s">
        <v>18</v>
      </c>
      <c r="C8" s="7" t="n">
        <v>9</v>
      </c>
      <c r="D8" s="6" t="s">
        <v>17</v>
      </c>
      <c r="E8" s="3" t="n">
        <v>351.5</v>
      </c>
      <c r="F8" s="8" t="n">
        <f aca="false">E8/$B$3</f>
        <v>0.615371148459384</v>
      </c>
      <c r="G8" s="9" t="n">
        <f aca="false">E8/$B$4-1</f>
        <v>0</v>
      </c>
      <c r="H8" s="3" t="n">
        <v>36.2</v>
      </c>
      <c r="I8" s="4" t="n">
        <f aca="false">$B$3/H8</f>
        <v>15.7790055248619</v>
      </c>
      <c r="J8" s="10" t="n">
        <v>1986</v>
      </c>
      <c r="K8" s="11"/>
      <c r="L8" s="12" t="str">
        <f aca="false">IF(K8="","",K8/J8)</f>
        <v/>
      </c>
    </row>
    <row r="9" customFormat="false" ht="15" hidden="false" customHeight="false" outlineLevel="0" collapsed="false">
      <c r="A9" s="6" t="s">
        <v>19</v>
      </c>
      <c r="B9" s="6" t="s">
        <v>20</v>
      </c>
      <c r="C9" s="7" t="n">
        <v>6</v>
      </c>
      <c r="D9" s="7" t="n">
        <v>32</v>
      </c>
      <c r="E9" s="3" t="n">
        <v>395.1</v>
      </c>
      <c r="F9" s="8" t="n">
        <f aca="false">E9/$B$3</f>
        <v>0.691701680672269</v>
      </c>
      <c r="G9" s="9" t="n">
        <f aca="false">E9/$B$4-1</f>
        <v>0.124039829302987</v>
      </c>
      <c r="H9" s="3" t="n">
        <v>47.7</v>
      </c>
      <c r="I9" s="4" t="n">
        <f aca="false">$B$3/H9</f>
        <v>11.9748427672956</v>
      </c>
      <c r="J9" s="10" t="n">
        <v>785</v>
      </c>
      <c r="K9" s="10" t="n">
        <v>826</v>
      </c>
      <c r="L9" s="12" t="n">
        <f aca="false">IF(K9="","",K9/J9)</f>
        <v>1.05222929936306</v>
      </c>
    </row>
    <row r="10" customFormat="false" ht="15" hidden="false" customHeight="false" outlineLevel="0" collapsed="false">
      <c r="A10" s="6" t="s">
        <v>19</v>
      </c>
      <c r="B10" s="6" t="s">
        <v>21</v>
      </c>
      <c r="C10" s="7" t="n">
        <v>6</v>
      </c>
      <c r="D10" s="7" t="n">
        <v>128</v>
      </c>
      <c r="E10" s="3" t="n">
        <v>393.5</v>
      </c>
      <c r="F10" s="8" t="n">
        <f aca="false">E10/$B$3</f>
        <v>0.68890056022409</v>
      </c>
      <c r="G10" s="9" t="n">
        <f aca="false">E10/$B$4-1</f>
        <v>0.119487908961593</v>
      </c>
      <c r="H10" s="3" t="n">
        <v>54.3</v>
      </c>
      <c r="I10" s="4" t="n">
        <f aca="false">$B$3/H10</f>
        <v>10.5193370165746</v>
      </c>
      <c r="J10" s="10" t="n">
        <v>1352</v>
      </c>
      <c r="K10" s="10" t="n">
        <v>1978</v>
      </c>
      <c r="L10" s="12" t="n">
        <f aca="false">IF(K10="","",K10/J10)</f>
        <v>1.46301775147929</v>
      </c>
    </row>
    <row r="11" customFormat="false" ht="15" hidden="false" customHeight="false" outlineLevel="0" collapsed="false">
      <c r="A11" s="6" t="s">
        <v>19</v>
      </c>
      <c r="B11" s="6" t="s">
        <v>22</v>
      </c>
      <c r="C11" s="7" t="n">
        <v>9</v>
      </c>
      <c r="D11" s="7" t="n">
        <v>64</v>
      </c>
      <c r="E11" s="3" t="n">
        <v>380</v>
      </c>
      <c r="F11" s="8" t="n">
        <f aca="false">E11/$B$3</f>
        <v>0.665266106442577</v>
      </c>
      <c r="G11" s="9" t="n">
        <f aca="false">E11/$B$4-1</f>
        <v>0.0810810810810811</v>
      </c>
      <c r="H11" s="3" t="n">
        <v>53.9</v>
      </c>
      <c r="I11" s="4" t="n">
        <f aca="false">$B$3/H11</f>
        <v>10.5974025974026</v>
      </c>
      <c r="J11" s="10" t="n">
        <v>2716</v>
      </c>
      <c r="K11" s="10" t="n">
        <v>3530</v>
      </c>
      <c r="L11" s="12" t="n">
        <f aca="false">IF(K11="","",K11/J11)</f>
        <v>1.29970544918999</v>
      </c>
    </row>
    <row r="12" customFormat="false" ht="15" hidden="false" customHeight="false" outlineLevel="0" collapsed="false">
      <c r="A12" s="6" t="s">
        <v>19</v>
      </c>
      <c r="B12" s="6" t="s">
        <v>23</v>
      </c>
      <c r="C12" s="7" t="n">
        <v>9</v>
      </c>
      <c r="D12" s="7" t="n">
        <v>256</v>
      </c>
      <c r="E12" s="3" t="n">
        <v>367.9</v>
      </c>
      <c r="F12" s="8" t="n">
        <f aca="false">E12/$B$3</f>
        <v>0.644082633053221</v>
      </c>
      <c r="G12" s="9" t="n">
        <f aca="false">E12/$B$4-1</f>
        <v>0.0466571834992886</v>
      </c>
      <c r="H12" s="3" t="n">
        <v>102.5</v>
      </c>
      <c r="I12" s="4" t="n">
        <f aca="false">$B$3/H12</f>
        <v>5.57268292682927</v>
      </c>
      <c r="J12" s="10" t="n">
        <v>2609</v>
      </c>
      <c r="K12" s="10" t="n">
        <v>5834</v>
      </c>
      <c r="L12" s="12" t="n">
        <f aca="false">IF(K12="","",K12/J12)</f>
        <v>2.23610578765811</v>
      </c>
    </row>
    <row r="13" customFormat="false" ht="15" hidden="false" customHeight="false" outlineLevel="0" collapsed="false">
      <c r="A13" s="6" t="s">
        <v>19</v>
      </c>
      <c r="B13" s="6" t="s">
        <v>24</v>
      </c>
      <c r="C13" s="7" t="n">
        <v>9</v>
      </c>
      <c r="D13" s="7" t="n">
        <v>1024</v>
      </c>
      <c r="E13" s="3" t="n">
        <v>364.1</v>
      </c>
      <c r="F13" s="8" t="n">
        <f aca="false">E13/$B$3</f>
        <v>0.637429971988796</v>
      </c>
      <c r="G13" s="9" t="n">
        <f aca="false">E13/$B$4-1</f>
        <v>0.0358463726884781</v>
      </c>
      <c r="H13" s="3" t="n">
        <v>209.1</v>
      </c>
      <c r="I13" s="4" t="n">
        <f aca="false">$B$3/H13</f>
        <v>2.73170731707317</v>
      </c>
      <c r="J13" s="10" t="n">
        <v>1652</v>
      </c>
      <c r="K13" s="10" t="n">
        <v>15050</v>
      </c>
      <c r="L13" s="12" t="n">
        <f aca="false">IF(K13="","",K13/J13)</f>
        <v>9.11016949152542</v>
      </c>
    </row>
    <row r="15" customFormat="false" ht="15" hidden="false" customHeight="false" outlineLevel="0" collapsed="false">
      <c r="A15" s="1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58"/>
  </cols>
  <sheetData>
    <row r="1" customFormat="false" ht="16.15" hidden="false" customHeight="false" outlineLevel="0" collapsed="false">
      <c r="A1" s="1" t="s">
        <v>26</v>
      </c>
    </row>
    <row r="3" customFormat="false" ht="26.85" hidden="false" customHeight="false" outlineLevel="0" collapsed="false">
      <c r="A3" s="5" t="s">
        <v>27</v>
      </c>
      <c r="B3" s="5" t="s">
        <v>5</v>
      </c>
      <c r="C3" s="5" t="s">
        <v>6</v>
      </c>
      <c r="D3" s="5" t="s">
        <v>7</v>
      </c>
      <c r="E3" s="5" t="s">
        <v>10</v>
      </c>
      <c r="F3" s="5" t="s">
        <v>12</v>
      </c>
      <c r="G3" s="5" t="s">
        <v>9</v>
      </c>
      <c r="H3" s="5" t="s">
        <v>28</v>
      </c>
    </row>
    <row r="4" customFormat="false" ht="15" hidden="false" customHeight="false" outlineLevel="0" collapsed="false">
      <c r="A4" s="2" t="s">
        <v>29</v>
      </c>
      <c r="B4" s="14" t="n">
        <f aca="false">Benchmark!C9</f>
        <v>6</v>
      </c>
      <c r="C4" s="14" t="n">
        <f aca="false">Benchmark!D9</f>
        <v>32</v>
      </c>
      <c r="D4" s="15" t="n">
        <f aca="false">Benchmark!E9</f>
        <v>395.1</v>
      </c>
      <c r="E4" s="15" t="n">
        <f aca="false">Benchmark!H9</f>
        <v>47.7</v>
      </c>
      <c r="F4" s="16" t="n">
        <f aca="false">Benchmark!J9</f>
        <v>785</v>
      </c>
      <c r="G4" s="17" t="n">
        <f aca="false">Benchmark!G9</f>
        <v>0.124039829302987</v>
      </c>
      <c r="H4" s="6" t="s">
        <v>30</v>
      </c>
    </row>
    <row r="5" customFormat="false" ht="15" hidden="false" customHeight="false" outlineLevel="0" collapsed="false">
      <c r="A5" s="2" t="s">
        <v>31</v>
      </c>
      <c r="B5" s="14" t="n">
        <f aca="false">Benchmark!C11</f>
        <v>9</v>
      </c>
      <c r="C5" s="14" t="n">
        <f aca="false">Benchmark!D11</f>
        <v>64</v>
      </c>
      <c r="D5" s="15" t="n">
        <f aca="false">Benchmark!E11</f>
        <v>380</v>
      </c>
      <c r="E5" s="15" t="n">
        <f aca="false">Benchmark!H11</f>
        <v>53.9</v>
      </c>
      <c r="F5" s="16" t="n">
        <f aca="false">Benchmark!J11</f>
        <v>2716</v>
      </c>
      <c r="G5" s="17" t="n">
        <f aca="false">Benchmark!G11</f>
        <v>0.0810810810810811</v>
      </c>
      <c r="H5" s="6" t="s">
        <v>32</v>
      </c>
    </row>
    <row r="6" customFormat="false" ht="15" hidden="false" customHeight="false" outlineLevel="0" collapsed="false">
      <c r="A6" s="2" t="s">
        <v>33</v>
      </c>
      <c r="B6" s="14" t="n">
        <f aca="false">Benchmark!C12</f>
        <v>9</v>
      </c>
      <c r="C6" s="14" t="n">
        <f aca="false">Benchmark!D12</f>
        <v>256</v>
      </c>
      <c r="D6" s="15" t="n">
        <f aca="false">Benchmark!E12</f>
        <v>367.9</v>
      </c>
      <c r="E6" s="15" t="n">
        <f aca="false">Benchmark!H12</f>
        <v>102.5</v>
      </c>
      <c r="F6" s="16" t="n">
        <f aca="false">Benchmark!J12</f>
        <v>2609</v>
      </c>
      <c r="G6" s="17" t="n">
        <f aca="false">Benchmark!G12</f>
        <v>0.0466571834992886</v>
      </c>
      <c r="H6" s="6" t="s">
        <v>34</v>
      </c>
    </row>
    <row r="8" customFormat="false" ht="15" hidden="false" customHeight="false" outlineLevel="0" collapsed="false">
      <c r="A8" s="1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1" t="s">
        <v>36</v>
      </c>
    </row>
    <row r="3" customFormat="false" ht="26.85" hidden="false" customHeight="false" outlineLevel="0" collapsed="false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</row>
    <row r="4" customFormat="false" ht="15" hidden="false" customHeight="false" outlineLevel="0" collapsed="false">
      <c r="A4" s="6" t="s">
        <v>42</v>
      </c>
      <c r="B4" s="3" t="n">
        <v>382.8</v>
      </c>
      <c r="C4" s="10" t="n">
        <v>24</v>
      </c>
      <c r="D4" s="18" t="n">
        <f aca="false">B4/Benchmark!$B$3</f>
        <v>0.670168067226891</v>
      </c>
      <c r="E4" s="6" t="s">
        <v>43</v>
      </c>
    </row>
    <row r="5" customFormat="false" ht="15" hidden="false" customHeight="false" outlineLevel="0" collapsed="false">
      <c r="A5" s="6" t="s">
        <v>44</v>
      </c>
      <c r="B5" s="3" t="n">
        <v>74</v>
      </c>
      <c r="C5" s="10" t="n">
        <v>19</v>
      </c>
      <c r="D5" s="18" t="n">
        <f aca="false">B5/Benchmark!$B$3</f>
        <v>0.129551820728291</v>
      </c>
      <c r="E5" s="6" t="s">
        <v>45</v>
      </c>
    </row>
    <row r="6" customFormat="false" ht="15" hidden="false" customHeight="false" outlineLevel="0" collapsed="false">
      <c r="A6" s="6" t="s">
        <v>46</v>
      </c>
      <c r="B6" s="3" t="n">
        <v>36.4</v>
      </c>
      <c r="C6" s="10" t="n">
        <v>16</v>
      </c>
      <c r="D6" s="18" t="n">
        <f aca="false">B6/Benchmark!$B$3</f>
        <v>0.0637254901960784</v>
      </c>
      <c r="E6" s="6" t="s">
        <v>47</v>
      </c>
    </row>
    <row r="7" customFormat="false" ht="15" hidden="false" customHeight="false" outlineLevel="0" collapsed="false">
      <c r="A7" s="6" t="s">
        <v>48</v>
      </c>
      <c r="B7" s="3" t="n">
        <v>19.6</v>
      </c>
      <c r="C7" s="10" t="n">
        <v>678</v>
      </c>
      <c r="D7" s="18" t="n">
        <f aca="false">B7/Benchmark!$B$3</f>
        <v>0.0343137254901961</v>
      </c>
      <c r="E7" s="6" t="s">
        <v>47</v>
      </c>
    </row>
    <row r="8" customFormat="false" ht="15" hidden="false" customHeight="false" outlineLevel="0" collapsed="false">
      <c r="A8" s="6" t="s">
        <v>49</v>
      </c>
      <c r="B8" s="3" t="n">
        <v>8.1</v>
      </c>
      <c r="C8" s="10" t="n">
        <v>2</v>
      </c>
      <c r="D8" s="18" t="n">
        <f aca="false">B8/Benchmark!$B$3</f>
        <v>0.0141806722689076</v>
      </c>
      <c r="E8" s="6" t="s">
        <v>50</v>
      </c>
    </row>
    <row r="9" customFormat="false" ht="15" hidden="false" customHeight="false" outlineLevel="0" collapsed="false">
      <c r="A9" s="6" t="s">
        <v>51</v>
      </c>
      <c r="B9" s="3" t="n">
        <v>7.6</v>
      </c>
      <c r="C9" s="10" t="n">
        <v>305</v>
      </c>
      <c r="D9" s="18" t="n">
        <f aca="false">B9/Benchmark!$B$3</f>
        <v>0.0133053221288515</v>
      </c>
      <c r="E9" s="6" t="s">
        <v>47</v>
      </c>
    </row>
    <row r="10" customFormat="false" ht="15" hidden="false" customHeight="false" outlineLevel="0" collapsed="false">
      <c r="A10" s="6" t="s">
        <v>52</v>
      </c>
      <c r="B10" s="3" t="n">
        <v>3.4</v>
      </c>
      <c r="C10" s="10" t="n">
        <v>96</v>
      </c>
      <c r="D10" s="18" t="n">
        <f aca="false">B10/Benchmark!$B$3</f>
        <v>0.00595238095238095</v>
      </c>
      <c r="E10" s="6" t="s">
        <v>47</v>
      </c>
    </row>
    <row r="11" customFormat="false" ht="15" hidden="false" customHeight="false" outlineLevel="0" collapsed="false">
      <c r="A11" s="6" t="s">
        <v>53</v>
      </c>
      <c r="B11" s="3" t="n">
        <v>3.2</v>
      </c>
      <c r="C11" s="10" t="n">
        <v>252</v>
      </c>
      <c r="D11" s="18" t="n">
        <f aca="false">B11/Benchmark!$B$3</f>
        <v>0.00560224089635854</v>
      </c>
      <c r="E11" s="6" t="s">
        <v>47</v>
      </c>
    </row>
    <row r="12" customFormat="false" ht="15" hidden="false" customHeight="false" outlineLevel="0" collapsed="false">
      <c r="A12" s="6" t="s">
        <v>54</v>
      </c>
      <c r="B12" s="3" t="n">
        <v>3.2</v>
      </c>
      <c r="C12" s="10" t="n">
        <v>4</v>
      </c>
      <c r="D12" s="18" t="n">
        <f aca="false">B12/Benchmark!$B$3</f>
        <v>0.00560224089635854</v>
      </c>
      <c r="E12" s="6" t="s">
        <v>55</v>
      </c>
    </row>
    <row r="13" customFormat="false" ht="15" hidden="false" customHeight="false" outlineLevel="0" collapsed="false">
      <c r="A13" s="6" t="s">
        <v>56</v>
      </c>
      <c r="B13" s="3" t="n">
        <v>2.7</v>
      </c>
      <c r="C13" s="10" t="n">
        <v>24</v>
      </c>
      <c r="D13" s="18" t="n">
        <f aca="false">B13/Benchmark!$B$3</f>
        <v>0.00472689075630252</v>
      </c>
      <c r="E13" s="6" t="s">
        <v>47</v>
      </c>
    </row>
    <row r="14" customFormat="false" ht="15" hidden="false" customHeight="false" outlineLevel="0" collapsed="false">
      <c r="A14" s="6" t="s">
        <v>57</v>
      </c>
      <c r="B14" s="3" t="n">
        <v>2.2</v>
      </c>
      <c r="C14" s="10" t="n">
        <v>18</v>
      </c>
      <c r="D14" s="18" t="n">
        <f aca="false">B14/Benchmark!$B$3</f>
        <v>0.0038515406162465</v>
      </c>
      <c r="E14" s="6" t="s">
        <v>58</v>
      </c>
    </row>
    <row r="15" customFormat="false" ht="15" hidden="false" customHeight="false" outlineLevel="0" collapsed="false">
      <c r="A15" s="6" t="s">
        <v>59</v>
      </c>
      <c r="B15" s="3" t="n">
        <v>2.1</v>
      </c>
      <c r="C15" s="10" t="n">
        <v>15</v>
      </c>
      <c r="D15" s="18" t="n">
        <f aca="false">B15/Benchmark!$B$3</f>
        <v>0.00367647058823529</v>
      </c>
      <c r="E15" s="6" t="s">
        <v>47</v>
      </c>
    </row>
    <row r="16" customFormat="false" ht="15" hidden="false" customHeight="false" outlineLevel="0" collapsed="false">
      <c r="A16" s="2" t="s">
        <v>60</v>
      </c>
      <c r="B16" s="4" t="n">
        <f aca="false">SUM(B4:B15)</f>
        <v>545.3</v>
      </c>
      <c r="C16" s="11" t="n">
        <f aca="false">SUM(C4:C15)</f>
        <v>1453</v>
      </c>
      <c r="D16" s="8" t="n">
        <f aca="false">B16/Benchmark!$B$3</f>
        <v>0.954656862745098</v>
      </c>
    </row>
    <row r="17" customFormat="false" ht="15" hidden="false" customHeight="false" outlineLevel="0" collapsed="false">
      <c r="A17" s="2" t="s">
        <v>61</v>
      </c>
      <c r="B17" s="4" t="n">
        <f aca="false">SUMIF(E4:E15,"Yes*",B4:B15)</f>
        <v>467.1</v>
      </c>
      <c r="C17" s="19"/>
      <c r="D17" s="8" t="n">
        <f aca="false">B17/Benchmark!$B$3</f>
        <v>0.817752100840336</v>
      </c>
    </row>
    <row r="19" customFormat="false" ht="15" hidden="false" customHeight="false" outlineLevel="0" collapsed="false">
      <c r="A19" s="2" t="s">
        <v>62</v>
      </c>
      <c r="B19" s="3" t="n">
        <v>386.9</v>
      </c>
      <c r="C19" s="19"/>
      <c r="D19" s="8" t="n">
        <f aca="false">B19/Benchmark!$B$3</f>
        <v>0.67734593837535</v>
      </c>
    </row>
    <row r="20" customFormat="false" ht="15" hidden="false" customHeight="false" outlineLevel="0" collapsed="false">
      <c r="A20" s="2" t="s">
        <v>63</v>
      </c>
      <c r="B20" s="3" t="n">
        <v>0.8</v>
      </c>
      <c r="C20" s="19"/>
      <c r="D20" s="8" t="n">
        <f aca="false">B20/Benchmark!$B$3</f>
        <v>0.00140056022408964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2026-10-18T08:54:17Z</dcterms:created>
  <dc:creator>openpyxl</dc:creator>
  <dc:description/>
  <dc:language>en-US</dc:language>
  <cp:lastModifiedBy/>
  <dcterms:modified xsi:type="dcterms:W3CDTF">2026-10-18T08:54:17Z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